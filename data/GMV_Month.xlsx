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JupyterNoteBook\portfolio\Project4_电商\data\"/>
    </mc:Choice>
  </mc:AlternateContent>
  <xr:revisionPtr revIDLastSave="0" documentId="13_ncr:1_{4A71565D-34D7-4FE8-8D29-902ADE3D632A}" xr6:coauthVersionLast="47" xr6:coauthVersionMax="47" xr10:uidLastSave="{00000000-0000-0000-0000-000000000000}"/>
  <bookViews>
    <workbookView xWindow="-110" yWindow="-110" windowWidth="25820" windowHeight="16220" xr2:uid="{153920FE-CC19-471F-978B-59CA63B70BCD}"/>
  </bookViews>
  <sheets>
    <sheet name="GMV_Month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5" i="1" l="1"/>
  <c r="L3" i="1"/>
  <c r="L4" i="1"/>
  <c r="L5" i="1"/>
  <c r="L2" i="1"/>
  <c r="J5" i="1"/>
  <c r="K4" i="1"/>
  <c r="J4" i="1"/>
  <c r="K3" i="1"/>
  <c r="J3" i="1"/>
  <c r="K2" i="1"/>
  <c r="J2" i="1"/>
</calcChain>
</file>

<file path=xl/sharedStrings.xml><?xml version="1.0" encoding="utf-8"?>
<sst xmlns="http://schemas.openxmlformats.org/spreadsheetml/2006/main" count="12" uniqueCount="8">
  <si>
    <t>GMV</t>
  </si>
  <si>
    <t>年月</t>
    <phoneticPr fontId="18" type="noConversion"/>
  </si>
  <si>
    <t>总下单量</t>
    <phoneticPr fontId="18" type="noConversion"/>
  </si>
  <si>
    <t>商品交易成功率</t>
    <phoneticPr fontId="18" type="noConversion"/>
  </si>
  <si>
    <t>客单价</t>
    <phoneticPr fontId="18" type="noConversion"/>
  </si>
  <si>
    <t>完成订单促销率</t>
    <phoneticPr fontId="18" type="noConversion"/>
  </si>
  <si>
    <t>指标</t>
    <phoneticPr fontId="18" type="noConversion"/>
  </si>
  <si>
    <t>变化率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</si>
</sst>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"/>
  </numFmts>
  <fonts count="21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rgb="FF0F1115"/>
      <name val="等线"/>
      <family val="3"/>
      <charset val="134"/>
      <scheme val="minor"/>
    </font>
    <font>
      <sz val="11"/>
      <color rgb="FF0F1115"/>
      <name val="宋体"/>
      <family val="2"/>
      <charset val="134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0" fillId="0" borderId="0" xfId="0" applyAlignment="1">
      <alignment horizontal="center" vertical="center"/>
    </xf>
    <xf numFmtId="57" fontId="19" fillId="0" borderId="0" xfId="0" applyNumberFormat="1" applyFont="1" applyAlignment="1">
      <alignment horizontal="center" vertical="center"/>
    </xf>
    <xf numFmtId="57" fontId="19" fillId="33" borderId="0" xfId="0" applyNumberFormat="1" applyFont="1" applyFill="1" applyAlignment="1">
      <alignment horizontal="center" vertical="center" wrapText="1"/>
    </xf>
    <xf numFmtId="0" fontId="20" fillId="33" borderId="0" xfId="0" applyFont="1" applyFill="1" applyAlignment="1">
      <alignment horizontal="center" vertical="center" wrapText="1"/>
    </xf>
    <xf numFmtId="10" fontId="0" fillId="0" borderId="0" xfId="0" applyNumberFormat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GMV_Month!$L$1</c:f>
              <c:strCache>
                <c:ptCount val="1"/>
                <c:pt idx="0">
                  <c:v>变化率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GMV_Month!$I$2:$I$5</c:f>
              <c:strCache>
                <c:ptCount val="4"/>
                <c:pt idx="0">
                  <c:v>总下单量</c:v>
                </c:pt>
                <c:pt idx="1">
                  <c:v>商品交易成功率</c:v>
                </c:pt>
                <c:pt idx="2">
                  <c:v>客单价</c:v>
                </c:pt>
                <c:pt idx="3">
                  <c:v>GMV</c:v>
                </c:pt>
              </c:strCache>
            </c:strRef>
          </c:cat>
          <c:val>
            <c:numRef>
              <c:f>GMV_Month!$L$2:$L$5</c:f>
              <c:numCache>
                <c:formatCode>0.00%</c:formatCode>
                <c:ptCount val="4"/>
                <c:pt idx="0">
                  <c:v>-9.9537037037037035E-2</c:v>
                </c:pt>
                <c:pt idx="1">
                  <c:v>-1.447764651378272E-2</c:v>
                </c:pt>
                <c:pt idx="2">
                  <c:v>-8.7950526134341053E-2</c:v>
                </c:pt>
                <c:pt idx="3">
                  <c:v>-0.19064860847288739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422-40E3-A278-819FFC5229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rPr>
              <a:t>2025年6月—2026年5月</a:t>
            </a:r>
            <a:br>
              <a:rPr lang="zh-CN"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rPr>
            </a:br>
            <a:r>
              <a:rPr lang="zh-CN"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rPr>
              <a:t>月度完成订单GMV趋势（元）</a:t>
            </a:r>
            <a:endParaRPr lang="zh-CN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GMV_Month!$B$1</c:f>
              <c:strCache>
                <c:ptCount val="1"/>
                <c:pt idx="0">
                  <c:v>GMV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GMV_Month!$A$2:$A$13</c:f>
              <c:numCache>
                <c:formatCode>yyyy/m</c:formatCode>
                <c:ptCount val="12"/>
                <c:pt idx="0">
                  <c:v>45809</c:v>
                </c:pt>
                <c:pt idx="1">
                  <c:v>45839</c:v>
                </c:pt>
                <c:pt idx="2">
                  <c:v>45870</c:v>
                </c:pt>
                <c:pt idx="3">
                  <c:v>45901</c:v>
                </c:pt>
                <c:pt idx="4">
                  <c:v>45931</c:v>
                </c:pt>
                <c:pt idx="5">
                  <c:v>45962</c:v>
                </c:pt>
                <c:pt idx="6">
                  <c:v>45992</c:v>
                </c:pt>
                <c:pt idx="7">
                  <c:v>46023</c:v>
                </c:pt>
                <c:pt idx="8">
                  <c:v>46054</c:v>
                </c:pt>
                <c:pt idx="9">
                  <c:v>46082</c:v>
                </c:pt>
                <c:pt idx="10">
                  <c:v>46113</c:v>
                </c:pt>
                <c:pt idx="11">
                  <c:v>46143</c:v>
                </c:pt>
              </c:numCache>
            </c:numRef>
          </c:cat>
          <c:val>
            <c:numRef>
              <c:f>GMV_Month!$B$2:$B$13</c:f>
              <c:numCache>
                <c:formatCode>General</c:formatCode>
                <c:ptCount val="12"/>
                <c:pt idx="0">
                  <c:v>1534252.94</c:v>
                </c:pt>
                <c:pt idx="1">
                  <c:v>1885914.05</c:v>
                </c:pt>
                <c:pt idx="2">
                  <c:v>1629929.39</c:v>
                </c:pt>
                <c:pt idx="3">
                  <c:v>1942386.8</c:v>
                </c:pt>
                <c:pt idx="4">
                  <c:v>1767754.21</c:v>
                </c:pt>
                <c:pt idx="5">
                  <c:v>1855033.24</c:v>
                </c:pt>
                <c:pt idx="6">
                  <c:v>1732685.27</c:v>
                </c:pt>
                <c:pt idx="7">
                  <c:v>1925848.57</c:v>
                </c:pt>
                <c:pt idx="8">
                  <c:v>1850301.75</c:v>
                </c:pt>
                <c:pt idx="9">
                  <c:v>1606959.77</c:v>
                </c:pt>
                <c:pt idx="10">
                  <c:v>1558688.22</c:v>
                </c:pt>
                <c:pt idx="11">
                  <c:v>1630035.53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F0F-4671-B93C-507213BA3D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8384543"/>
        <c:axId val="47824015"/>
      </c:lineChart>
      <c:dateAx>
        <c:axId val="20838454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rPr>
                  <a:t>月份</a:t>
                </a:r>
                <a:endParaRPr lang="zh-CN"/>
              </a:p>
            </c:rich>
          </c:tx>
          <c:overlay val="0"/>
        </c:title>
        <c:numFmt formatCode="yyyy/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824015"/>
        <c:crosses val="autoZero"/>
        <c:auto val="1"/>
        <c:lblOffset val="100"/>
        <c:baseTimeUnit val="months"/>
      </c:dateAx>
      <c:valAx>
        <c:axId val="47824015"/>
        <c:scaling>
          <c:orientation val="minMax"/>
          <c:min val="14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rPr>
                  <a:t>完成订单GMV（元）</a:t>
                </a:r>
                <a:endParaRPr lang="zh-CN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083845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rPr>
              <a:t>2025年6月—2026年5月</a:t>
            </a:r>
            <a:br>
              <a:rPr lang="zh-CN"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rPr>
            </a:br>
            <a:r>
              <a:rPr lang="zh-CN"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rPr>
              <a:t>月度客单价趋势（元）</a:t>
            </a:r>
            <a:endParaRPr lang="zh-CN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3"/>
          <c:order val="3"/>
          <c:tx>
            <c:strRef>
              <c:f>GMV_Month!$E$1</c:f>
              <c:strCache>
                <c:ptCount val="1"/>
                <c:pt idx="0">
                  <c:v>客单价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GMV_Month!$A$2:$A$13</c:f>
              <c:numCache>
                <c:formatCode>yyyy/m</c:formatCode>
                <c:ptCount val="12"/>
                <c:pt idx="0">
                  <c:v>45809</c:v>
                </c:pt>
                <c:pt idx="1">
                  <c:v>45839</c:v>
                </c:pt>
                <c:pt idx="2">
                  <c:v>45870</c:v>
                </c:pt>
                <c:pt idx="3">
                  <c:v>45901</c:v>
                </c:pt>
                <c:pt idx="4">
                  <c:v>45931</c:v>
                </c:pt>
                <c:pt idx="5">
                  <c:v>45962</c:v>
                </c:pt>
                <c:pt idx="6">
                  <c:v>45992</c:v>
                </c:pt>
                <c:pt idx="7">
                  <c:v>46023</c:v>
                </c:pt>
                <c:pt idx="8">
                  <c:v>46054</c:v>
                </c:pt>
                <c:pt idx="9">
                  <c:v>46082</c:v>
                </c:pt>
                <c:pt idx="10">
                  <c:v>46113</c:v>
                </c:pt>
                <c:pt idx="11">
                  <c:v>46143</c:v>
                </c:pt>
              </c:numCache>
              <c:extLst xmlns:c15="http://schemas.microsoft.com/office/drawing/2012/chart"/>
            </c:numRef>
          </c:cat>
          <c:val>
            <c:numRef>
              <c:f>GMV_Month!$E$2:$E$13</c:f>
              <c:numCache>
                <c:formatCode>General</c:formatCode>
                <c:ptCount val="12"/>
                <c:pt idx="0">
                  <c:v>4750.01</c:v>
                </c:pt>
                <c:pt idx="1">
                  <c:v>4823.3100000000004</c:v>
                </c:pt>
                <c:pt idx="2">
                  <c:v>4924.26</c:v>
                </c:pt>
                <c:pt idx="3">
                  <c:v>5111.54</c:v>
                </c:pt>
                <c:pt idx="4">
                  <c:v>4979.59</c:v>
                </c:pt>
                <c:pt idx="5">
                  <c:v>4805.79</c:v>
                </c:pt>
                <c:pt idx="6">
                  <c:v>4853.46</c:v>
                </c:pt>
                <c:pt idx="7">
                  <c:v>5163.13</c:v>
                </c:pt>
                <c:pt idx="8">
                  <c:v>5055.47</c:v>
                </c:pt>
                <c:pt idx="9">
                  <c:v>4439.12</c:v>
                </c:pt>
                <c:pt idx="10">
                  <c:v>4709.03</c:v>
                </c:pt>
                <c:pt idx="11">
                  <c:v>4954.5200000000004</c:v>
                </c:pt>
              </c:numCache>
              <c:extLst xmlns:c15="http://schemas.microsoft.com/office/drawing/2012/chart"/>
            </c:numRef>
          </c:val>
          <c:smooth val="0"/>
          <c:extLst>
            <c:ext xmlns:c16="http://schemas.microsoft.com/office/drawing/2014/chart" uri="{C3380CC4-5D6E-409C-BE32-E72D297353CC}">
              <c16:uniqueId val="{00000000-2D46-4D5D-8BEF-9597AAABAA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26903055"/>
        <c:axId val="1314244432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GMV_Month!$B$1</c15:sqref>
                        </c15:formulaRef>
                      </c:ext>
                    </c:extLst>
                    <c:strCache>
                      <c:ptCount val="1"/>
                      <c:pt idx="0">
                        <c:v>GMV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GMV_Month!$A$2:$A$13</c15:sqref>
                        </c15:formulaRef>
                      </c:ext>
                    </c:extLst>
                    <c:numCache>
                      <c:formatCode>yyyy/m</c:formatCode>
                      <c:ptCount val="12"/>
                      <c:pt idx="0">
                        <c:v>45809</c:v>
                      </c:pt>
                      <c:pt idx="1">
                        <c:v>45839</c:v>
                      </c:pt>
                      <c:pt idx="2">
                        <c:v>45870</c:v>
                      </c:pt>
                      <c:pt idx="3">
                        <c:v>45901</c:v>
                      </c:pt>
                      <c:pt idx="4">
                        <c:v>45931</c:v>
                      </c:pt>
                      <c:pt idx="5">
                        <c:v>45962</c:v>
                      </c:pt>
                      <c:pt idx="6">
                        <c:v>45992</c:v>
                      </c:pt>
                      <c:pt idx="7">
                        <c:v>46023</c:v>
                      </c:pt>
                      <c:pt idx="8">
                        <c:v>46054</c:v>
                      </c:pt>
                      <c:pt idx="9">
                        <c:v>46082</c:v>
                      </c:pt>
                      <c:pt idx="10">
                        <c:v>46113</c:v>
                      </c:pt>
                      <c:pt idx="11">
                        <c:v>46143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GMV_Month!$B$2:$B$13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1534252.94</c:v>
                      </c:pt>
                      <c:pt idx="1">
                        <c:v>1885914.05</c:v>
                      </c:pt>
                      <c:pt idx="2">
                        <c:v>1629929.39</c:v>
                      </c:pt>
                      <c:pt idx="3">
                        <c:v>1942386.8</c:v>
                      </c:pt>
                      <c:pt idx="4">
                        <c:v>1767754.21</c:v>
                      </c:pt>
                      <c:pt idx="5">
                        <c:v>1855033.24</c:v>
                      </c:pt>
                      <c:pt idx="6">
                        <c:v>1732685.27</c:v>
                      </c:pt>
                      <c:pt idx="7">
                        <c:v>1925848.57</c:v>
                      </c:pt>
                      <c:pt idx="8">
                        <c:v>1850301.75</c:v>
                      </c:pt>
                      <c:pt idx="9">
                        <c:v>1606959.77</c:v>
                      </c:pt>
                      <c:pt idx="10">
                        <c:v>1558688.22</c:v>
                      </c:pt>
                      <c:pt idx="11">
                        <c:v>1630035.53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2D46-4D5D-8BEF-9597AAABAA9B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GMV_Month!$C$1</c15:sqref>
                        </c15:formulaRef>
                      </c:ext>
                    </c:extLst>
                    <c:strCache>
                      <c:ptCount val="1"/>
                      <c:pt idx="0">
                        <c:v>总下单量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GMV_Month!$A$2:$A$13</c15:sqref>
                        </c15:formulaRef>
                      </c:ext>
                    </c:extLst>
                    <c:numCache>
                      <c:formatCode>yyyy/m</c:formatCode>
                      <c:ptCount val="12"/>
                      <c:pt idx="0">
                        <c:v>45809</c:v>
                      </c:pt>
                      <c:pt idx="1">
                        <c:v>45839</c:v>
                      </c:pt>
                      <c:pt idx="2">
                        <c:v>45870</c:v>
                      </c:pt>
                      <c:pt idx="3">
                        <c:v>45901</c:v>
                      </c:pt>
                      <c:pt idx="4">
                        <c:v>45931</c:v>
                      </c:pt>
                      <c:pt idx="5">
                        <c:v>45962</c:v>
                      </c:pt>
                      <c:pt idx="6">
                        <c:v>45992</c:v>
                      </c:pt>
                      <c:pt idx="7">
                        <c:v>46023</c:v>
                      </c:pt>
                      <c:pt idx="8">
                        <c:v>46054</c:v>
                      </c:pt>
                      <c:pt idx="9">
                        <c:v>46082</c:v>
                      </c:pt>
                      <c:pt idx="10">
                        <c:v>46113</c:v>
                      </c:pt>
                      <c:pt idx="11">
                        <c:v>46143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GMV_Month!$C$2:$C$13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376</c:v>
                      </c:pt>
                      <c:pt idx="1">
                        <c:v>448</c:v>
                      </c:pt>
                      <c:pt idx="2">
                        <c:v>373</c:v>
                      </c:pt>
                      <c:pt idx="3">
                        <c:v>441</c:v>
                      </c:pt>
                      <c:pt idx="4">
                        <c:v>419</c:v>
                      </c:pt>
                      <c:pt idx="5">
                        <c:v>448</c:v>
                      </c:pt>
                      <c:pt idx="6">
                        <c:v>414</c:v>
                      </c:pt>
                      <c:pt idx="7">
                        <c:v>432</c:v>
                      </c:pt>
                      <c:pt idx="8">
                        <c:v>432</c:v>
                      </c:pt>
                      <c:pt idx="9">
                        <c:v>430</c:v>
                      </c:pt>
                      <c:pt idx="10">
                        <c:v>389</c:v>
                      </c:pt>
                      <c:pt idx="11">
                        <c:v>398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2D46-4D5D-8BEF-9597AAABAA9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GMV_Month!$D$1</c15:sqref>
                        </c15:formulaRef>
                      </c:ext>
                    </c:extLst>
                    <c:strCache>
                      <c:ptCount val="1"/>
                      <c:pt idx="0">
                        <c:v>商品交易成功率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GMV_Month!$A$2:$A$13</c15:sqref>
                        </c15:formulaRef>
                      </c:ext>
                    </c:extLst>
                    <c:numCache>
                      <c:formatCode>yyyy/m</c:formatCode>
                      <c:ptCount val="12"/>
                      <c:pt idx="0">
                        <c:v>45809</c:v>
                      </c:pt>
                      <c:pt idx="1">
                        <c:v>45839</c:v>
                      </c:pt>
                      <c:pt idx="2">
                        <c:v>45870</c:v>
                      </c:pt>
                      <c:pt idx="3">
                        <c:v>45901</c:v>
                      </c:pt>
                      <c:pt idx="4">
                        <c:v>45931</c:v>
                      </c:pt>
                      <c:pt idx="5">
                        <c:v>45962</c:v>
                      </c:pt>
                      <c:pt idx="6">
                        <c:v>45992</c:v>
                      </c:pt>
                      <c:pt idx="7">
                        <c:v>46023</c:v>
                      </c:pt>
                      <c:pt idx="8">
                        <c:v>46054</c:v>
                      </c:pt>
                      <c:pt idx="9">
                        <c:v>46082</c:v>
                      </c:pt>
                      <c:pt idx="10">
                        <c:v>46113</c:v>
                      </c:pt>
                      <c:pt idx="11">
                        <c:v>46143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GMV_Month!$D$2:$D$13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85.9</c:v>
                      </c:pt>
                      <c:pt idx="1">
                        <c:v>87.28</c:v>
                      </c:pt>
                      <c:pt idx="2">
                        <c:v>88.74</c:v>
                      </c:pt>
                      <c:pt idx="3">
                        <c:v>86.17</c:v>
                      </c:pt>
                      <c:pt idx="4">
                        <c:v>84.73</c:v>
                      </c:pt>
                      <c:pt idx="5">
                        <c:v>86.16</c:v>
                      </c:pt>
                      <c:pt idx="6">
                        <c:v>86.23</c:v>
                      </c:pt>
                      <c:pt idx="7">
                        <c:v>86.34</c:v>
                      </c:pt>
                      <c:pt idx="8">
                        <c:v>84.72</c:v>
                      </c:pt>
                      <c:pt idx="9">
                        <c:v>84.19</c:v>
                      </c:pt>
                      <c:pt idx="10">
                        <c:v>85.09</c:v>
                      </c:pt>
                      <c:pt idx="11">
                        <c:v>82.66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2D46-4D5D-8BEF-9597AAABAA9B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GMV_Month!$F$1</c15:sqref>
                        </c15:formulaRef>
                      </c:ext>
                    </c:extLst>
                    <c:strCache>
                      <c:ptCount val="1"/>
                      <c:pt idx="0">
                        <c:v>完成订单促销率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GMV_Month!$A$2:$A$13</c15:sqref>
                        </c15:formulaRef>
                      </c:ext>
                    </c:extLst>
                    <c:numCache>
                      <c:formatCode>yyyy/m</c:formatCode>
                      <c:ptCount val="12"/>
                      <c:pt idx="0">
                        <c:v>45809</c:v>
                      </c:pt>
                      <c:pt idx="1">
                        <c:v>45839</c:v>
                      </c:pt>
                      <c:pt idx="2">
                        <c:v>45870</c:v>
                      </c:pt>
                      <c:pt idx="3">
                        <c:v>45901</c:v>
                      </c:pt>
                      <c:pt idx="4">
                        <c:v>45931</c:v>
                      </c:pt>
                      <c:pt idx="5">
                        <c:v>45962</c:v>
                      </c:pt>
                      <c:pt idx="6">
                        <c:v>45992</c:v>
                      </c:pt>
                      <c:pt idx="7">
                        <c:v>46023</c:v>
                      </c:pt>
                      <c:pt idx="8">
                        <c:v>46054</c:v>
                      </c:pt>
                      <c:pt idx="9">
                        <c:v>46082</c:v>
                      </c:pt>
                      <c:pt idx="10">
                        <c:v>46113</c:v>
                      </c:pt>
                      <c:pt idx="11">
                        <c:v>46143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GMV_Month!$F$2:$F$13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31.27</c:v>
                      </c:pt>
                      <c:pt idx="1">
                        <c:v>29.67</c:v>
                      </c:pt>
                      <c:pt idx="2">
                        <c:v>32.33</c:v>
                      </c:pt>
                      <c:pt idx="3">
                        <c:v>28.95</c:v>
                      </c:pt>
                      <c:pt idx="4">
                        <c:v>31.27</c:v>
                      </c:pt>
                      <c:pt idx="5">
                        <c:v>33.94</c:v>
                      </c:pt>
                      <c:pt idx="6">
                        <c:v>30.25</c:v>
                      </c:pt>
                      <c:pt idx="7">
                        <c:v>35.92</c:v>
                      </c:pt>
                      <c:pt idx="8">
                        <c:v>29.51</c:v>
                      </c:pt>
                      <c:pt idx="9">
                        <c:v>31.22</c:v>
                      </c:pt>
                      <c:pt idx="10">
                        <c:v>29</c:v>
                      </c:pt>
                      <c:pt idx="11">
                        <c:v>30.09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2D46-4D5D-8BEF-9597AAABAA9B}"/>
                  </c:ext>
                </c:extLst>
              </c15:ser>
            </c15:filteredLineSeries>
          </c:ext>
        </c:extLst>
      </c:lineChart>
      <c:dateAx>
        <c:axId val="22690305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rPr>
                  <a:t>月份</a:t>
                </a:r>
                <a:endParaRPr lang="zh-CN"/>
              </a:p>
            </c:rich>
          </c:tx>
          <c:overlay val="0"/>
        </c:title>
        <c:numFmt formatCode="yyyy/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314244432"/>
        <c:crosses val="autoZero"/>
        <c:auto val="1"/>
        <c:lblOffset val="100"/>
        <c:baseTimeUnit val="months"/>
      </c:dateAx>
      <c:valAx>
        <c:axId val="1314244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rPr>
                  <a:t>客单价（元）</a:t>
                </a:r>
                <a:endParaRPr lang="zh-CN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269030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rPr>
              <a:t>2025年6月—2026年5月</a:t>
            </a:r>
            <a:br>
              <a:rPr lang="zh-CN"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rPr>
            </a:br>
            <a:r>
              <a:rPr lang="zh-CN"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rPr>
              <a:t>月度完成订单促销率趋势（%）</a:t>
            </a:r>
            <a:endParaRPr lang="zh-CN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4"/>
          <c:order val="4"/>
          <c:tx>
            <c:strRef>
              <c:f>GMV_Month!$F$1</c:f>
              <c:strCache>
                <c:ptCount val="1"/>
                <c:pt idx="0">
                  <c:v>完成订单促销率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GMV_Month!$A$2:$A$13</c:f>
              <c:numCache>
                <c:formatCode>yyyy/m</c:formatCode>
                <c:ptCount val="12"/>
                <c:pt idx="0">
                  <c:v>45809</c:v>
                </c:pt>
                <c:pt idx="1">
                  <c:v>45839</c:v>
                </c:pt>
                <c:pt idx="2">
                  <c:v>45870</c:v>
                </c:pt>
                <c:pt idx="3">
                  <c:v>45901</c:v>
                </c:pt>
                <c:pt idx="4">
                  <c:v>45931</c:v>
                </c:pt>
                <c:pt idx="5">
                  <c:v>45962</c:v>
                </c:pt>
                <c:pt idx="6">
                  <c:v>45992</c:v>
                </c:pt>
                <c:pt idx="7">
                  <c:v>46023</c:v>
                </c:pt>
                <c:pt idx="8">
                  <c:v>46054</c:v>
                </c:pt>
                <c:pt idx="9">
                  <c:v>46082</c:v>
                </c:pt>
                <c:pt idx="10">
                  <c:v>46113</c:v>
                </c:pt>
                <c:pt idx="11">
                  <c:v>46143</c:v>
                </c:pt>
              </c:numCache>
              <c:extLst xmlns:c15="http://schemas.microsoft.com/office/drawing/2012/chart"/>
            </c:numRef>
          </c:cat>
          <c:val>
            <c:numRef>
              <c:f>GMV_Month!$F$2:$F$13</c:f>
              <c:numCache>
                <c:formatCode>General</c:formatCode>
                <c:ptCount val="12"/>
                <c:pt idx="0">
                  <c:v>31.27</c:v>
                </c:pt>
                <c:pt idx="1">
                  <c:v>29.67</c:v>
                </c:pt>
                <c:pt idx="2">
                  <c:v>32.33</c:v>
                </c:pt>
                <c:pt idx="3">
                  <c:v>28.95</c:v>
                </c:pt>
                <c:pt idx="4">
                  <c:v>31.27</c:v>
                </c:pt>
                <c:pt idx="5">
                  <c:v>33.94</c:v>
                </c:pt>
                <c:pt idx="6">
                  <c:v>30.25</c:v>
                </c:pt>
                <c:pt idx="7">
                  <c:v>35.92</c:v>
                </c:pt>
                <c:pt idx="8">
                  <c:v>29.51</c:v>
                </c:pt>
                <c:pt idx="9">
                  <c:v>31.22</c:v>
                </c:pt>
                <c:pt idx="10">
                  <c:v>29</c:v>
                </c:pt>
                <c:pt idx="11">
                  <c:v>30.09</c:v>
                </c:pt>
              </c:numCache>
              <c:extLst xmlns:c15="http://schemas.microsoft.com/office/drawing/2012/chart"/>
            </c:numRef>
          </c:val>
          <c:smooth val="0"/>
          <c:extLst>
            <c:ext xmlns:c16="http://schemas.microsoft.com/office/drawing/2014/chart" uri="{C3380CC4-5D6E-409C-BE32-E72D297353CC}">
              <c16:uniqueId val="{00000000-D788-4400-B7B4-3DE8C59E8F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26903055"/>
        <c:axId val="1314244432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GMV_Month!$B$1</c15:sqref>
                        </c15:formulaRef>
                      </c:ext>
                    </c:extLst>
                    <c:strCache>
                      <c:ptCount val="1"/>
                      <c:pt idx="0">
                        <c:v>GMV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GMV_Month!$A$2:$A$13</c15:sqref>
                        </c15:formulaRef>
                      </c:ext>
                    </c:extLst>
                    <c:numCache>
                      <c:formatCode>yyyy/m</c:formatCode>
                      <c:ptCount val="12"/>
                      <c:pt idx="0">
                        <c:v>45809</c:v>
                      </c:pt>
                      <c:pt idx="1">
                        <c:v>45839</c:v>
                      </c:pt>
                      <c:pt idx="2">
                        <c:v>45870</c:v>
                      </c:pt>
                      <c:pt idx="3">
                        <c:v>45901</c:v>
                      </c:pt>
                      <c:pt idx="4">
                        <c:v>45931</c:v>
                      </c:pt>
                      <c:pt idx="5">
                        <c:v>45962</c:v>
                      </c:pt>
                      <c:pt idx="6">
                        <c:v>45992</c:v>
                      </c:pt>
                      <c:pt idx="7">
                        <c:v>46023</c:v>
                      </c:pt>
                      <c:pt idx="8">
                        <c:v>46054</c:v>
                      </c:pt>
                      <c:pt idx="9">
                        <c:v>46082</c:v>
                      </c:pt>
                      <c:pt idx="10">
                        <c:v>46113</c:v>
                      </c:pt>
                      <c:pt idx="11">
                        <c:v>46143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GMV_Month!$B$2:$B$13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1534252.94</c:v>
                      </c:pt>
                      <c:pt idx="1">
                        <c:v>1885914.05</c:v>
                      </c:pt>
                      <c:pt idx="2">
                        <c:v>1629929.39</c:v>
                      </c:pt>
                      <c:pt idx="3">
                        <c:v>1942386.8</c:v>
                      </c:pt>
                      <c:pt idx="4">
                        <c:v>1767754.21</c:v>
                      </c:pt>
                      <c:pt idx="5">
                        <c:v>1855033.24</c:v>
                      </c:pt>
                      <c:pt idx="6">
                        <c:v>1732685.27</c:v>
                      </c:pt>
                      <c:pt idx="7">
                        <c:v>1925848.57</c:v>
                      </c:pt>
                      <c:pt idx="8">
                        <c:v>1850301.75</c:v>
                      </c:pt>
                      <c:pt idx="9">
                        <c:v>1606959.77</c:v>
                      </c:pt>
                      <c:pt idx="10">
                        <c:v>1558688.22</c:v>
                      </c:pt>
                      <c:pt idx="11">
                        <c:v>1630035.53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D788-4400-B7B4-3DE8C59E8F34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GMV_Month!$C$1</c15:sqref>
                        </c15:formulaRef>
                      </c:ext>
                    </c:extLst>
                    <c:strCache>
                      <c:ptCount val="1"/>
                      <c:pt idx="0">
                        <c:v>总下单量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GMV_Month!$A$2:$A$13</c15:sqref>
                        </c15:formulaRef>
                      </c:ext>
                    </c:extLst>
                    <c:numCache>
                      <c:formatCode>yyyy/m</c:formatCode>
                      <c:ptCount val="12"/>
                      <c:pt idx="0">
                        <c:v>45809</c:v>
                      </c:pt>
                      <c:pt idx="1">
                        <c:v>45839</c:v>
                      </c:pt>
                      <c:pt idx="2">
                        <c:v>45870</c:v>
                      </c:pt>
                      <c:pt idx="3">
                        <c:v>45901</c:v>
                      </c:pt>
                      <c:pt idx="4">
                        <c:v>45931</c:v>
                      </c:pt>
                      <c:pt idx="5">
                        <c:v>45962</c:v>
                      </c:pt>
                      <c:pt idx="6">
                        <c:v>45992</c:v>
                      </c:pt>
                      <c:pt idx="7">
                        <c:v>46023</c:v>
                      </c:pt>
                      <c:pt idx="8">
                        <c:v>46054</c:v>
                      </c:pt>
                      <c:pt idx="9">
                        <c:v>46082</c:v>
                      </c:pt>
                      <c:pt idx="10">
                        <c:v>46113</c:v>
                      </c:pt>
                      <c:pt idx="11">
                        <c:v>46143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GMV_Month!$C$2:$C$13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376</c:v>
                      </c:pt>
                      <c:pt idx="1">
                        <c:v>448</c:v>
                      </c:pt>
                      <c:pt idx="2">
                        <c:v>373</c:v>
                      </c:pt>
                      <c:pt idx="3">
                        <c:v>441</c:v>
                      </c:pt>
                      <c:pt idx="4">
                        <c:v>419</c:v>
                      </c:pt>
                      <c:pt idx="5">
                        <c:v>448</c:v>
                      </c:pt>
                      <c:pt idx="6">
                        <c:v>414</c:v>
                      </c:pt>
                      <c:pt idx="7">
                        <c:v>432</c:v>
                      </c:pt>
                      <c:pt idx="8">
                        <c:v>432</c:v>
                      </c:pt>
                      <c:pt idx="9">
                        <c:v>430</c:v>
                      </c:pt>
                      <c:pt idx="10">
                        <c:v>389</c:v>
                      </c:pt>
                      <c:pt idx="11">
                        <c:v>398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788-4400-B7B4-3DE8C59E8F34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GMV_Month!$D$1</c15:sqref>
                        </c15:formulaRef>
                      </c:ext>
                    </c:extLst>
                    <c:strCache>
                      <c:ptCount val="1"/>
                      <c:pt idx="0">
                        <c:v>商品交易成功率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GMV_Month!$A$2:$A$13</c15:sqref>
                        </c15:formulaRef>
                      </c:ext>
                    </c:extLst>
                    <c:numCache>
                      <c:formatCode>yyyy/m</c:formatCode>
                      <c:ptCount val="12"/>
                      <c:pt idx="0">
                        <c:v>45809</c:v>
                      </c:pt>
                      <c:pt idx="1">
                        <c:v>45839</c:v>
                      </c:pt>
                      <c:pt idx="2">
                        <c:v>45870</c:v>
                      </c:pt>
                      <c:pt idx="3">
                        <c:v>45901</c:v>
                      </c:pt>
                      <c:pt idx="4">
                        <c:v>45931</c:v>
                      </c:pt>
                      <c:pt idx="5">
                        <c:v>45962</c:v>
                      </c:pt>
                      <c:pt idx="6">
                        <c:v>45992</c:v>
                      </c:pt>
                      <c:pt idx="7">
                        <c:v>46023</c:v>
                      </c:pt>
                      <c:pt idx="8">
                        <c:v>46054</c:v>
                      </c:pt>
                      <c:pt idx="9">
                        <c:v>46082</c:v>
                      </c:pt>
                      <c:pt idx="10">
                        <c:v>46113</c:v>
                      </c:pt>
                      <c:pt idx="11">
                        <c:v>46143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GMV_Month!$D$2:$D$13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85.9</c:v>
                      </c:pt>
                      <c:pt idx="1">
                        <c:v>87.28</c:v>
                      </c:pt>
                      <c:pt idx="2">
                        <c:v>88.74</c:v>
                      </c:pt>
                      <c:pt idx="3">
                        <c:v>86.17</c:v>
                      </c:pt>
                      <c:pt idx="4">
                        <c:v>84.73</c:v>
                      </c:pt>
                      <c:pt idx="5">
                        <c:v>86.16</c:v>
                      </c:pt>
                      <c:pt idx="6">
                        <c:v>86.23</c:v>
                      </c:pt>
                      <c:pt idx="7">
                        <c:v>86.34</c:v>
                      </c:pt>
                      <c:pt idx="8">
                        <c:v>84.72</c:v>
                      </c:pt>
                      <c:pt idx="9">
                        <c:v>84.19</c:v>
                      </c:pt>
                      <c:pt idx="10">
                        <c:v>85.09</c:v>
                      </c:pt>
                      <c:pt idx="11">
                        <c:v>82.66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D788-4400-B7B4-3DE8C59E8F3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GMV_Month!$E$1</c15:sqref>
                        </c15:formulaRef>
                      </c:ext>
                    </c:extLst>
                    <c:strCache>
                      <c:ptCount val="1"/>
                      <c:pt idx="0">
                        <c:v>客单价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GMV_Month!$A$2:$A$13</c15:sqref>
                        </c15:formulaRef>
                      </c:ext>
                    </c:extLst>
                    <c:numCache>
                      <c:formatCode>yyyy/m</c:formatCode>
                      <c:ptCount val="12"/>
                      <c:pt idx="0">
                        <c:v>45809</c:v>
                      </c:pt>
                      <c:pt idx="1">
                        <c:v>45839</c:v>
                      </c:pt>
                      <c:pt idx="2">
                        <c:v>45870</c:v>
                      </c:pt>
                      <c:pt idx="3">
                        <c:v>45901</c:v>
                      </c:pt>
                      <c:pt idx="4">
                        <c:v>45931</c:v>
                      </c:pt>
                      <c:pt idx="5">
                        <c:v>45962</c:v>
                      </c:pt>
                      <c:pt idx="6">
                        <c:v>45992</c:v>
                      </c:pt>
                      <c:pt idx="7">
                        <c:v>46023</c:v>
                      </c:pt>
                      <c:pt idx="8">
                        <c:v>46054</c:v>
                      </c:pt>
                      <c:pt idx="9">
                        <c:v>46082</c:v>
                      </c:pt>
                      <c:pt idx="10">
                        <c:v>46113</c:v>
                      </c:pt>
                      <c:pt idx="11">
                        <c:v>46143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GMV_Month!$E$2:$E$13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4750.01</c:v>
                      </c:pt>
                      <c:pt idx="1">
                        <c:v>4823.3100000000004</c:v>
                      </c:pt>
                      <c:pt idx="2">
                        <c:v>4924.26</c:v>
                      </c:pt>
                      <c:pt idx="3">
                        <c:v>5111.54</c:v>
                      </c:pt>
                      <c:pt idx="4">
                        <c:v>4979.59</c:v>
                      </c:pt>
                      <c:pt idx="5">
                        <c:v>4805.79</c:v>
                      </c:pt>
                      <c:pt idx="6">
                        <c:v>4853.46</c:v>
                      </c:pt>
                      <c:pt idx="7">
                        <c:v>5163.13</c:v>
                      </c:pt>
                      <c:pt idx="8">
                        <c:v>5055.47</c:v>
                      </c:pt>
                      <c:pt idx="9">
                        <c:v>4439.12</c:v>
                      </c:pt>
                      <c:pt idx="10">
                        <c:v>4709.03</c:v>
                      </c:pt>
                      <c:pt idx="11">
                        <c:v>4954.5200000000004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D788-4400-B7B4-3DE8C59E8F34}"/>
                  </c:ext>
                </c:extLst>
              </c15:ser>
            </c15:filteredLineSeries>
          </c:ext>
        </c:extLst>
      </c:lineChart>
      <c:dateAx>
        <c:axId val="22690305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rPr>
                  <a:t>月份</a:t>
                </a:r>
                <a:endParaRPr lang="zh-CN"/>
              </a:p>
            </c:rich>
          </c:tx>
          <c:overlay val="0"/>
        </c:title>
        <c:numFmt formatCode="yyyy/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314244432"/>
        <c:crosses val="autoZero"/>
        <c:auto val="1"/>
        <c:lblOffset val="100"/>
        <c:baseTimeUnit val="months"/>
      </c:dateAx>
      <c:valAx>
        <c:axId val="1314244432"/>
        <c:scaling>
          <c:orientation val="minMax"/>
          <c:min val="2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rPr>
                  <a:t>完成订单促销率（%）</a:t>
                </a:r>
                <a:endParaRPr lang="zh-CN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269030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rPr>
              <a:t>2025年6月—2026年5月</a:t>
            </a:r>
            <a:br>
              <a:rPr lang="zh-CN"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rPr>
            </a:br>
            <a:r>
              <a:rPr lang="zh-CN"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rPr>
              <a:t>月度商品交易成功率趋势（%）</a:t>
            </a:r>
            <a:endParaRPr lang="zh-CN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2"/>
          <c:order val="2"/>
          <c:tx>
            <c:strRef>
              <c:f>GMV_Month!$D$1</c:f>
              <c:strCache>
                <c:ptCount val="1"/>
                <c:pt idx="0">
                  <c:v>商品交易成功率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GMV_Month!$A$2:$A$13</c:f>
              <c:numCache>
                <c:formatCode>yyyy/m</c:formatCode>
                <c:ptCount val="12"/>
                <c:pt idx="0">
                  <c:v>45809</c:v>
                </c:pt>
                <c:pt idx="1">
                  <c:v>45839</c:v>
                </c:pt>
                <c:pt idx="2">
                  <c:v>45870</c:v>
                </c:pt>
                <c:pt idx="3">
                  <c:v>45901</c:v>
                </c:pt>
                <c:pt idx="4">
                  <c:v>45931</c:v>
                </c:pt>
                <c:pt idx="5">
                  <c:v>45962</c:v>
                </c:pt>
                <c:pt idx="6">
                  <c:v>45992</c:v>
                </c:pt>
                <c:pt idx="7">
                  <c:v>46023</c:v>
                </c:pt>
                <c:pt idx="8">
                  <c:v>46054</c:v>
                </c:pt>
                <c:pt idx="9">
                  <c:v>46082</c:v>
                </c:pt>
                <c:pt idx="10">
                  <c:v>46113</c:v>
                </c:pt>
                <c:pt idx="11">
                  <c:v>46143</c:v>
                </c:pt>
              </c:numCache>
              <c:extLst xmlns:c15="http://schemas.microsoft.com/office/drawing/2012/chart"/>
            </c:numRef>
          </c:cat>
          <c:val>
            <c:numRef>
              <c:f>GMV_Month!$D$2:$D$13</c:f>
              <c:numCache>
                <c:formatCode>General</c:formatCode>
                <c:ptCount val="12"/>
                <c:pt idx="0">
                  <c:v>85.9</c:v>
                </c:pt>
                <c:pt idx="1">
                  <c:v>87.28</c:v>
                </c:pt>
                <c:pt idx="2">
                  <c:v>88.74</c:v>
                </c:pt>
                <c:pt idx="3">
                  <c:v>86.17</c:v>
                </c:pt>
                <c:pt idx="4">
                  <c:v>84.73</c:v>
                </c:pt>
                <c:pt idx="5">
                  <c:v>86.16</c:v>
                </c:pt>
                <c:pt idx="6">
                  <c:v>86.23</c:v>
                </c:pt>
                <c:pt idx="7">
                  <c:v>86.34</c:v>
                </c:pt>
                <c:pt idx="8">
                  <c:v>84.72</c:v>
                </c:pt>
                <c:pt idx="9">
                  <c:v>84.19</c:v>
                </c:pt>
                <c:pt idx="10">
                  <c:v>85.09</c:v>
                </c:pt>
                <c:pt idx="11">
                  <c:v>82.66</c:v>
                </c:pt>
              </c:numCache>
              <c:extLst xmlns:c15="http://schemas.microsoft.com/office/drawing/2012/chart"/>
            </c:numRef>
          </c:val>
          <c:smooth val="0"/>
          <c:extLst>
            <c:ext xmlns:c16="http://schemas.microsoft.com/office/drawing/2014/chart" uri="{C3380CC4-5D6E-409C-BE32-E72D297353CC}">
              <c16:uniqueId val="{00000000-D4A6-46AD-8556-872D9364DB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26903055"/>
        <c:axId val="1314244432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GMV_Month!$B$1</c15:sqref>
                        </c15:formulaRef>
                      </c:ext>
                    </c:extLst>
                    <c:strCache>
                      <c:ptCount val="1"/>
                      <c:pt idx="0">
                        <c:v>GMV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GMV_Month!$A$2:$A$13</c15:sqref>
                        </c15:formulaRef>
                      </c:ext>
                    </c:extLst>
                    <c:numCache>
                      <c:formatCode>yyyy/m</c:formatCode>
                      <c:ptCount val="12"/>
                      <c:pt idx="0">
                        <c:v>45809</c:v>
                      </c:pt>
                      <c:pt idx="1">
                        <c:v>45839</c:v>
                      </c:pt>
                      <c:pt idx="2">
                        <c:v>45870</c:v>
                      </c:pt>
                      <c:pt idx="3">
                        <c:v>45901</c:v>
                      </c:pt>
                      <c:pt idx="4">
                        <c:v>45931</c:v>
                      </c:pt>
                      <c:pt idx="5">
                        <c:v>45962</c:v>
                      </c:pt>
                      <c:pt idx="6">
                        <c:v>45992</c:v>
                      </c:pt>
                      <c:pt idx="7">
                        <c:v>46023</c:v>
                      </c:pt>
                      <c:pt idx="8">
                        <c:v>46054</c:v>
                      </c:pt>
                      <c:pt idx="9">
                        <c:v>46082</c:v>
                      </c:pt>
                      <c:pt idx="10">
                        <c:v>46113</c:v>
                      </c:pt>
                      <c:pt idx="11">
                        <c:v>46143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GMV_Month!$B$2:$B$13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1534252.94</c:v>
                      </c:pt>
                      <c:pt idx="1">
                        <c:v>1885914.05</c:v>
                      </c:pt>
                      <c:pt idx="2">
                        <c:v>1629929.39</c:v>
                      </c:pt>
                      <c:pt idx="3">
                        <c:v>1942386.8</c:v>
                      </c:pt>
                      <c:pt idx="4">
                        <c:v>1767754.21</c:v>
                      </c:pt>
                      <c:pt idx="5">
                        <c:v>1855033.24</c:v>
                      </c:pt>
                      <c:pt idx="6">
                        <c:v>1732685.27</c:v>
                      </c:pt>
                      <c:pt idx="7">
                        <c:v>1925848.57</c:v>
                      </c:pt>
                      <c:pt idx="8">
                        <c:v>1850301.75</c:v>
                      </c:pt>
                      <c:pt idx="9">
                        <c:v>1606959.77</c:v>
                      </c:pt>
                      <c:pt idx="10">
                        <c:v>1558688.22</c:v>
                      </c:pt>
                      <c:pt idx="11">
                        <c:v>1630035.53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D4A6-46AD-8556-872D9364DBD4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GMV_Month!$C$1</c15:sqref>
                        </c15:formulaRef>
                      </c:ext>
                    </c:extLst>
                    <c:strCache>
                      <c:ptCount val="1"/>
                      <c:pt idx="0">
                        <c:v>总下单量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GMV_Month!$A$2:$A$13</c15:sqref>
                        </c15:formulaRef>
                      </c:ext>
                    </c:extLst>
                    <c:numCache>
                      <c:formatCode>yyyy/m</c:formatCode>
                      <c:ptCount val="12"/>
                      <c:pt idx="0">
                        <c:v>45809</c:v>
                      </c:pt>
                      <c:pt idx="1">
                        <c:v>45839</c:v>
                      </c:pt>
                      <c:pt idx="2">
                        <c:v>45870</c:v>
                      </c:pt>
                      <c:pt idx="3">
                        <c:v>45901</c:v>
                      </c:pt>
                      <c:pt idx="4">
                        <c:v>45931</c:v>
                      </c:pt>
                      <c:pt idx="5">
                        <c:v>45962</c:v>
                      </c:pt>
                      <c:pt idx="6">
                        <c:v>45992</c:v>
                      </c:pt>
                      <c:pt idx="7">
                        <c:v>46023</c:v>
                      </c:pt>
                      <c:pt idx="8">
                        <c:v>46054</c:v>
                      </c:pt>
                      <c:pt idx="9">
                        <c:v>46082</c:v>
                      </c:pt>
                      <c:pt idx="10">
                        <c:v>46113</c:v>
                      </c:pt>
                      <c:pt idx="11">
                        <c:v>46143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GMV_Month!$C$2:$C$13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376</c:v>
                      </c:pt>
                      <c:pt idx="1">
                        <c:v>448</c:v>
                      </c:pt>
                      <c:pt idx="2">
                        <c:v>373</c:v>
                      </c:pt>
                      <c:pt idx="3">
                        <c:v>441</c:v>
                      </c:pt>
                      <c:pt idx="4">
                        <c:v>419</c:v>
                      </c:pt>
                      <c:pt idx="5">
                        <c:v>448</c:v>
                      </c:pt>
                      <c:pt idx="6">
                        <c:v>414</c:v>
                      </c:pt>
                      <c:pt idx="7">
                        <c:v>432</c:v>
                      </c:pt>
                      <c:pt idx="8">
                        <c:v>432</c:v>
                      </c:pt>
                      <c:pt idx="9">
                        <c:v>430</c:v>
                      </c:pt>
                      <c:pt idx="10">
                        <c:v>389</c:v>
                      </c:pt>
                      <c:pt idx="11">
                        <c:v>398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4A6-46AD-8556-872D9364DBD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GMV_Month!$E$1</c15:sqref>
                        </c15:formulaRef>
                      </c:ext>
                    </c:extLst>
                    <c:strCache>
                      <c:ptCount val="1"/>
                      <c:pt idx="0">
                        <c:v>客单价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GMV_Month!$A$2:$A$13</c15:sqref>
                        </c15:formulaRef>
                      </c:ext>
                    </c:extLst>
                    <c:numCache>
                      <c:formatCode>yyyy/m</c:formatCode>
                      <c:ptCount val="12"/>
                      <c:pt idx="0">
                        <c:v>45809</c:v>
                      </c:pt>
                      <c:pt idx="1">
                        <c:v>45839</c:v>
                      </c:pt>
                      <c:pt idx="2">
                        <c:v>45870</c:v>
                      </c:pt>
                      <c:pt idx="3">
                        <c:v>45901</c:v>
                      </c:pt>
                      <c:pt idx="4">
                        <c:v>45931</c:v>
                      </c:pt>
                      <c:pt idx="5">
                        <c:v>45962</c:v>
                      </c:pt>
                      <c:pt idx="6">
                        <c:v>45992</c:v>
                      </c:pt>
                      <c:pt idx="7">
                        <c:v>46023</c:v>
                      </c:pt>
                      <c:pt idx="8">
                        <c:v>46054</c:v>
                      </c:pt>
                      <c:pt idx="9">
                        <c:v>46082</c:v>
                      </c:pt>
                      <c:pt idx="10">
                        <c:v>46113</c:v>
                      </c:pt>
                      <c:pt idx="11">
                        <c:v>46143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GMV_Month!$E$2:$E$13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4750.01</c:v>
                      </c:pt>
                      <c:pt idx="1">
                        <c:v>4823.3100000000004</c:v>
                      </c:pt>
                      <c:pt idx="2">
                        <c:v>4924.26</c:v>
                      </c:pt>
                      <c:pt idx="3">
                        <c:v>5111.54</c:v>
                      </c:pt>
                      <c:pt idx="4">
                        <c:v>4979.59</c:v>
                      </c:pt>
                      <c:pt idx="5">
                        <c:v>4805.79</c:v>
                      </c:pt>
                      <c:pt idx="6">
                        <c:v>4853.46</c:v>
                      </c:pt>
                      <c:pt idx="7">
                        <c:v>5163.13</c:v>
                      </c:pt>
                      <c:pt idx="8">
                        <c:v>5055.47</c:v>
                      </c:pt>
                      <c:pt idx="9">
                        <c:v>4439.12</c:v>
                      </c:pt>
                      <c:pt idx="10">
                        <c:v>4709.03</c:v>
                      </c:pt>
                      <c:pt idx="11">
                        <c:v>4954.5200000000004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D4A6-46AD-8556-872D9364DBD4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GMV_Month!$F$1</c15:sqref>
                        </c15:formulaRef>
                      </c:ext>
                    </c:extLst>
                    <c:strCache>
                      <c:ptCount val="1"/>
                      <c:pt idx="0">
                        <c:v>完成订单促销率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GMV_Month!$A$2:$A$13</c15:sqref>
                        </c15:formulaRef>
                      </c:ext>
                    </c:extLst>
                    <c:numCache>
                      <c:formatCode>yyyy/m</c:formatCode>
                      <c:ptCount val="12"/>
                      <c:pt idx="0">
                        <c:v>45809</c:v>
                      </c:pt>
                      <c:pt idx="1">
                        <c:v>45839</c:v>
                      </c:pt>
                      <c:pt idx="2">
                        <c:v>45870</c:v>
                      </c:pt>
                      <c:pt idx="3">
                        <c:v>45901</c:v>
                      </c:pt>
                      <c:pt idx="4">
                        <c:v>45931</c:v>
                      </c:pt>
                      <c:pt idx="5">
                        <c:v>45962</c:v>
                      </c:pt>
                      <c:pt idx="6">
                        <c:v>45992</c:v>
                      </c:pt>
                      <c:pt idx="7">
                        <c:v>46023</c:v>
                      </c:pt>
                      <c:pt idx="8">
                        <c:v>46054</c:v>
                      </c:pt>
                      <c:pt idx="9">
                        <c:v>46082</c:v>
                      </c:pt>
                      <c:pt idx="10">
                        <c:v>46113</c:v>
                      </c:pt>
                      <c:pt idx="11">
                        <c:v>46143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GMV_Month!$F$2:$F$13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31.27</c:v>
                      </c:pt>
                      <c:pt idx="1">
                        <c:v>29.67</c:v>
                      </c:pt>
                      <c:pt idx="2">
                        <c:v>32.33</c:v>
                      </c:pt>
                      <c:pt idx="3">
                        <c:v>28.95</c:v>
                      </c:pt>
                      <c:pt idx="4">
                        <c:v>31.27</c:v>
                      </c:pt>
                      <c:pt idx="5">
                        <c:v>33.94</c:v>
                      </c:pt>
                      <c:pt idx="6">
                        <c:v>30.25</c:v>
                      </c:pt>
                      <c:pt idx="7">
                        <c:v>35.92</c:v>
                      </c:pt>
                      <c:pt idx="8">
                        <c:v>29.51</c:v>
                      </c:pt>
                      <c:pt idx="9">
                        <c:v>31.22</c:v>
                      </c:pt>
                      <c:pt idx="10">
                        <c:v>29</c:v>
                      </c:pt>
                      <c:pt idx="11">
                        <c:v>30.09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D4A6-46AD-8556-872D9364DBD4}"/>
                  </c:ext>
                </c:extLst>
              </c15:ser>
            </c15:filteredLineSeries>
          </c:ext>
        </c:extLst>
      </c:lineChart>
      <c:dateAx>
        <c:axId val="22690305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rPr>
                  <a:t>月份</a:t>
                </a:r>
                <a:endParaRPr lang="zh-CN"/>
              </a:p>
            </c:rich>
          </c:tx>
          <c:overlay val="0"/>
        </c:title>
        <c:numFmt formatCode="yyyy/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314244432"/>
        <c:crosses val="autoZero"/>
        <c:auto val="1"/>
        <c:lblOffset val="100"/>
        <c:baseTimeUnit val="months"/>
      </c:dateAx>
      <c:valAx>
        <c:axId val="1314244432"/>
        <c:scaling>
          <c:orientation val="minMax"/>
          <c:min val="8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rPr>
                  <a:t>商品交易成功率（%）</a:t>
                </a:r>
                <a:endParaRPr lang="zh-CN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269030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rPr>
              <a:t>2025年6月—2026年5月</a:t>
            </a:r>
            <a:br>
              <a:rPr lang="zh-CN"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rPr>
            </a:br>
            <a:r>
              <a:rPr lang="zh-CN"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rPr>
              <a:t>月度总下单量趋势（单）</a:t>
            </a:r>
            <a:endParaRPr lang="zh-CN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GMV_Month!$C$1</c:f>
              <c:strCache>
                <c:ptCount val="1"/>
                <c:pt idx="0">
                  <c:v>总下单量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GMV_Month!$A$2:$A$13</c:f>
              <c:numCache>
                <c:formatCode>yyyy/m</c:formatCode>
                <c:ptCount val="12"/>
                <c:pt idx="0">
                  <c:v>45809</c:v>
                </c:pt>
                <c:pt idx="1">
                  <c:v>45839</c:v>
                </c:pt>
                <c:pt idx="2">
                  <c:v>45870</c:v>
                </c:pt>
                <c:pt idx="3">
                  <c:v>45901</c:v>
                </c:pt>
                <c:pt idx="4">
                  <c:v>45931</c:v>
                </c:pt>
                <c:pt idx="5">
                  <c:v>45962</c:v>
                </c:pt>
                <c:pt idx="6">
                  <c:v>45992</c:v>
                </c:pt>
                <c:pt idx="7">
                  <c:v>46023</c:v>
                </c:pt>
                <c:pt idx="8">
                  <c:v>46054</c:v>
                </c:pt>
                <c:pt idx="9">
                  <c:v>46082</c:v>
                </c:pt>
                <c:pt idx="10">
                  <c:v>46113</c:v>
                </c:pt>
                <c:pt idx="11">
                  <c:v>46143</c:v>
                </c:pt>
              </c:numCache>
            </c:numRef>
          </c:cat>
          <c:val>
            <c:numRef>
              <c:f>GMV_Month!$C$2:$C$13</c:f>
              <c:numCache>
                <c:formatCode>General</c:formatCode>
                <c:ptCount val="12"/>
                <c:pt idx="0">
                  <c:v>376</c:v>
                </c:pt>
                <c:pt idx="1">
                  <c:v>448</c:v>
                </c:pt>
                <c:pt idx="2">
                  <c:v>373</c:v>
                </c:pt>
                <c:pt idx="3">
                  <c:v>441</c:v>
                </c:pt>
                <c:pt idx="4">
                  <c:v>419</c:v>
                </c:pt>
                <c:pt idx="5">
                  <c:v>448</c:v>
                </c:pt>
                <c:pt idx="6">
                  <c:v>414</c:v>
                </c:pt>
                <c:pt idx="7">
                  <c:v>432</c:v>
                </c:pt>
                <c:pt idx="8">
                  <c:v>432</c:v>
                </c:pt>
                <c:pt idx="9">
                  <c:v>430</c:v>
                </c:pt>
                <c:pt idx="10">
                  <c:v>389</c:v>
                </c:pt>
                <c:pt idx="11">
                  <c:v>398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5B7-4FA1-BDC5-D4D191306F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26903055"/>
        <c:axId val="1314244432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GMV_Month!$B$1</c15:sqref>
                        </c15:formulaRef>
                      </c:ext>
                    </c:extLst>
                    <c:strCache>
                      <c:ptCount val="1"/>
                      <c:pt idx="0">
                        <c:v>GMV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GMV_Month!$A$2:$A$13</c15:sqref>
                        </c15:formulaRef>
                      </c:ext>
                    </c:extLst>
                    <c:numCache>
                      <c:formatCode>yyyy/m</c:formatCode>
                      <c:ptCount val="12"/>
                      <c:pt idx="0">
                        <c:v>45809</c:v>
                      </c:pt>
                      <c:pt idx="1">
                        <c:v>45839</c:v>
                      </c:pt>
                      <c:pt idx="2">
                        <c:v>45870</c:v>
                      </c:pt>
                      <c:pt idx="3">
                        <c:v>45901</c:v>
                      </c:pt>
                      <c:pt idx="4">
                        <c:v>45931</c:v>
                      </c:pt>
                      <c:pt idx="5">
                        <c:v>45962</c:v>
                      </c:pt>
                      <c:pt idx="6">
                        <c:v>45992</c:v>
                      </c:pt>
                      <c:pt idx="7">
                        <c:v>46023</c:v>
                      </c:pt>
                      <c:pt idx="8">
                        <c:v>46054</c:v>
                      </c:pt>
                      <c:pt idx="9">
                        <c:v>46082</c:v>
                      </c:pt>
                      <c:pt idx="10">
                        <c:v>46113</c:v>
                      </c:pt>
                      <c:pt idx="11">
                        <c:v>46143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GMV_Month!$B$2:$B$13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1534252.94</c:v>
                      </c:pt>
                      <c:pt idx="1">
                        <c:v>1885914.05</c:v>
                      </c:pt>
                      <c:pt idx="2">
                        <c:v>1629929.39</c:v>
                      </c:pt>
                      <c:pt idx="3">
                        <c:v>1942386.8</c:v>
                      </c:pt>
                      <c:pt idx="4">
                        <c:v>1767754.21</c:v>
                      </c:pt>
                      <c:pt idx="5">
                        <c:v>1855033.24</c:v>
                      </c:pt>
                      <c:pt idx="6">
                        <c:v>1732685.27</c:v>
                      </c:pt>
                      <c:pt idx="7">
                        <c:v>1925848.57</c:v>
                      </c:pt>
                      <c:pt idx="8">
                        <c:v>1850301.75</c:v>
                      </c:pt>
                      <c:pt idx="9">
                        <c:v>1606959.77</c:v>
                      </c:pt>
                      <c:pt idx="10">
                        <c:v>1558688.22</c:v>
                      </c:pt>
                      <c:pt idx="11">
                        <c:v>1630035.53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F5B7-4FA1-BDC5-D4D191306F20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GMV_Month!$D$1</c15:sqref>
                        </c15:formulaRef>
                      </c:ext>
                    </c:extLst>
                    <c:strCache>
                      <c:ptCount val="1"/>
                      <c:pt idx="0">
                        <c:v>商品交易成功率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GMV_Month!$A$2:$A$13</c15:sqref>
                        </c15:formulaRef>
                      </c:ext>
                    </c:extLst>
                    <c:numCache>
                      <c:formatCode>yyyy/m</c:formatCode>
                      <c:ptCount val="12"/>
                      <c:pt idx="0">
                        <c:v>45809</c:v>
                      </c:pt>
                      <c:pt idx="1">
                        <c:v>45839</c:v>
                      </c:pt>
                      <c:pt idx="2">
                        <c:v>45870</c:v>
                      </c:pt>
                      <c:pt idx="3">
                        <c:v>45901</c:v>
                      </c:pt>
                      <c:pt idx="4">
                        <c:v>45931</c:v>
                      </c:pt>
                      <c:pt idx="5">
                        <c:v>45962</c:v>
                      </c:pt>
                      <c:pt idx="6">
                        <c:v>45992</c:v>
                      </c:pt>
                      <c:pt idx="7">
                        <c:v>46023</c:v>
                      </c:pt>
                      <c:pt idx="8">
                        <c:v>46054</c:v>
                      </c:pt>
                      <c:pt idx="9">
                        <c:v>46082</c:v>
                      </c:pt>
                      <c:pt idx="10">
                        <c:v>46113</c:v>
                      </c:pt>
                      <c:pt idx="11">
                        <c:v>46143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GMV_Month!$D$2:$D$13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85.9</c:v>
                      </c:pt>
                      <c:pt idx="1">
                        <c:v>87.28</c:v>
                      </c:pt>
                      <c:pt idx="2">
                        <c:v>88.74</c:v>
                      </c:pt>
                      <c:pt idx="3">
                        <c:v>86.17</c:v>
                      </c:pt>
                      <c:pt idx="4">
                        <c:v>84.73</c:v>
                      </c:pt>
                      <c:pt idx="5">
                        <c:v>86.16</c:v>
                      </c:pt>
                      <c:pt idx="6">
                        <c:v>86.23</c:v>
                      </c:pt>
                      <c:pt idx="7">
                        <c:v>86.34</c:v>
                      </c:pt>
                      <c:pt idx="8">
                        <c:v>84.72</c:v>
                      </c:pt>
                      <c:pt idx="9">
                        <c:v>84.19</c:v>
                      </c:pt>
                      <c:pt idx="10">
                        <c:v>85.09</c:v>
                      </c:pt>
                      <c:pt idx="11">
                        <c:v>82.66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F5B7-4FA1-BDC5-D4D191306F20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GMV_Month!$E$1</c15:sqref>
                        </c15:formulaRef>
                      </c:ext>
                    </c:extLst>
                    <c:strCache>
                      <c:ptCount val="1"/>
                      <c:pt idx="0">
                        <c:v>客单价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GMV_Month!$A$2:$A$13</c15:sqref>
                        </c15:formulaRef>
                      </c:ext>
                    </c:extLst>
                    <c:numCache>
                      <c:formatCode>yyyy/m</c:formatCode>
                      <c:ptCount val="12"/>
                      <c:pt idx="0">
                        <c:v>45809</c:v>
                      </c:pt>
                      <c:pt idx="1">
                        <c:v>45839</c:v>
                      </c:pt>
                      <c:pt idx="2">
                        <c:v>45870</c:v>
                      </c:pt>
                      <c:pt idx="3">
                        <c:v>45901</c:v>
                      </c:pt>
                      <c:pt idx="4">
                        <c:v>45931</c:v>
                      </c:pt>
                      <c:pt idx="5">
                        <c:v>45962</c:v>
                      </c:pt>
                      <c:pt idx="6">
                        <c:v>45992</c:v>
                      </c:pt>
                      <c:pt idx="7">
                        <c:v>46023</c:v>
                      </c:pt>
                      <c:pt idx="8">
                        <c:v>46054</c:v>
                      </c:pt>
                      <c:pt idx="9">
                        <c:v>46082</c:v>
                      </c:pt>
                      <c:pt idx="10">
                        <c:v>46113</c:v>
                      </c:pt>
                      <c:pt idx="11">
                        <c:v>46143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GMV_Month!$E$2:$E$13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4750.01</c:v>
                      </c:pt>
                      <c:pt idx="1">
                        <c:v>4823.3100000000004</c:v>
                      </c:pt>
                      <c:pt idx="2">
                        <c:v>4924.26</c:v>
                      </c:pt>
                      <c:pt idx="3">
                        <c:v>5111.54</c:v>
                      </c:pt>
                      <c:pt idx="4">
                        <c:v>4979.59</c:v>
                      </c:pt>
                      <c:pt idx="5">
                        <c:v>4805.79</c:v>
                      </c:pt>
                      <c:pt idx="6">
                        <c:v>4853.46</c:v>
                      </c:pt>
                      <c:pt idx="7">
                        <c:v>5163.13</c:v>
                      </c:pt>
                      <c:pt idx="8">
                        <c:v>5055.47</c:v>
                      </c:pt>
                      <c:pt idx="9">
                        <c:v>4439.12</c:v>
                      </c:pt>
                      <c:pt idx="10">
                        <c:v>4709.03</c:v>
                      </c:pt>
                      <c:pt idx="11">
                        <c:v>4954.5200000000004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F5B7-4FA1-BDC5-D4D191306F20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GMV_Month!$F$1</c15:sqref>
                        </c15:formulaRef>
                      </c:ext>
                    </c:extLst>
                    <c:strCache>
                      <c:ptCount val="1"/>
                      <c:pt idx="0">
                        <c:v>完成订单促销率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GMV_Month!$A$2:$A$13</c15:sqref>
                        </c15:formulaRef>
                      </c:ext>
                    </c:extLst>
                    <c:numCache>
                      <c:formatCode>yyyy/m</c:formatCode>
                      <c:ptCount val="12"/>
                      <c:pt idx="0">
                        <c:v>45809</c:v>
                      </c:pt>
                      <c:pt idx="1">
                        <c:v>45839</c:v>
                      </c:pt>
                      <c:pt idx="2">
                        <c:v>45870</c:v>
                      </c:pt>
                      <c:pt idx="3">
                        <c:v>45901</c:v>
                      </c:pt>
                      <c:pt idx="4">
                        <c:v>45931</c:v>
                      </c:pt>
                      <c:pt idx="5">
                        <c:v>45962</c:v>
                      </c:pt>
                      <c:pt idx="6">
                        <c:v>45992</c:v>
                      </c:pt>
                      <c:pt idx="7">
                        <c:v>46023</c:v>
                      </c:pt>
                      <c:pt idx="8">
                        <c:v>46054</c:v>
                      </c:pt>
                      <c:pt idx="9">
                        <c:v>46082</c:v>
                      </c:pt>
                      <c:pt idx="10">
                        <c:v>46113</c:v>
                      </c:pt>
                      <c:pt idx="11">
                        <c:v>46143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GMV_Month!$F$2:$F$13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31.27</c:v>
                      </c:pt>
                      <c:pt idx="1">
                        <c:v>29.67</c:v>
                      </c:pt>
                      <c:pt idx="2">
                        <c:v>32.33</c:v>
                      </c:pt>
                      <c:pt idx="3">
                        <c:v>28.95</c:v>
                      </c:pt>
                      <c:pt idx="4">
                        <c:v>31.27</c:v>
                      </c:pt>
                      <c:pt idx="5">
                        <c:v>33.94</c:v>
                      </c:pt>
                      <c:pt idx="6">
                        <c:v>30.25</c:v>
                      </c:pt>
                      <c:pt idx="7">
                        <c:v>35.92</c:v>
                      </c:pt>
                      <c:pt idx="8">
                        <c:v>29.51</c:v>
                      </c:pt>
                      <c:pt idx="9">
                        <c:v>31.22</c:v>
                      </c:pt>
                      <c:pt idx="10">
                        <c:v>29</c:v>
                      </c:pt>
                      <c:pt idx="11">
                        <c:v>30.09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F5B7-4FA1-BDC5-D4D191306F20}"/>
                  </c:ext>
                </c:extLst>
              </c15:ser>
            </c15:filteredLineSeries>
          </c:ext>
        </c:extLst>
      </c:lineChart>
      <c:dateAx>
        <c:axId val="22690305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rPr>
                  <a:t>月份</a:t>
                </a:r>
                <a:endParaRPr lang="zh-CN"/>
              </a:p>
            </c:rich>
          </c:tx>
          <c:overlay val="0"/>
        </c:title>
        <c:numFmt formatCode="yyyy/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314244432"/>
        <c:crosses val="autoZero"/>
        <c:auto val="1"/>
        <c:lblOffset val="100"/>
        <c:baseTimeUnit val="months"/>
      </c:dateAx>
      <c:valAx>
        <c:axId val="1314244432"/>
        <c:scaling>
          <c:orientation val="minMax"/>
          <c:min val="3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rPr>
                  <a:t>总下单量（单）</a:t>
                </a:r>
                <a:endParaRPr lang="zh-CN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269030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5" Type="http://schemas.openxmlformats.org/officeDocument/2006/relationships/chart" Target="../charts/chart6.xml"/><Relationship Id="rId4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349250</xdr:colOff>
      <xdr:row>6</xdr:row>
      <xdr:rowOff>82550</xdr:rowOff>
    </xdr:from>
    <xdr:to>
      <xdr:col>13</xdr:col>
      <xdr:colOff>241300</xdr:colOff>
      <xdr:row>23</xdr:row>
      <xdr:rowOff>0</xdr:rowOff>
    </xdr:to>
    <xdr:graphicFrame macro="">
      <xdr:nvGraphicFramePr>
        <xdr:cNvPr id="11" name="图表 10">
          <a:extLst>
            <a:ext uri="{FF2B5EF4-FFF2-40B4-BE49-F238E27FC236}">
              <a16:creationId xmlns:a16="http://schemas.microsoft.com/office/drawing/2014/main" id="{82C34DB8-F358-5301-E3D9-5F3F14B6EB5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10</xdr:col>
      <xdr:colOff>552450</xdr:colOff>
      <xdr:row>31</xdr:row>
      <xdr:rowOff>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7B80096E-48C5-40FF-AFD0-C37F6A856E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546100</xdr:colOff>
      <xdr:row>0</xdr:row>
      <xdr:rowOff>0</xdr:rowOff>
    </xdr:from>
    <xdr:to>
      <xdr:col>17</xdr:col>
      <xdr:colOff>495300</xdr:colOff>
      <xdr:row>15</xdr:row>
      <xdr:rowOff>76200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18D0CC55-C82B-405D-A6C2-374DEF3FF91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539750</xdr:colOff>
      <xdr:row>15</xdr:row>
      <xdr:rowOff>101600</xdr:rowOff>
    </xdr:from>
    <xdr:to>
      <xdr:col>17</xdr:col>
      <xdr:colOff>488950</xdr:colOff>
      <xdr:row>31</xdr:row>
      <xdr:rowOff>0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D90DC7A8-6FD9-446B-84B1-A6389D70AB6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31</xdr:row>
      <xdr:rowOff>25400</xdr:rowOff>
    </xdr:from>
    <xdr:to>
      <xdr:col>6</xdr:col>
      <xdr:colOff>609600</xdr:colOff>
      <xdr:row>46</xdr:row>
      <xdr:rowOff>101600</xdr:rowOff>
    </xdr:to>
    <xdr:graphicFrame macro="">
      <xdr:nvGraphicFramePr>
        <xdr:cNvPr id="5" name="图表 4">
          <a:extLst>
            <a:ext uri="{FF2B5EF4-FFF2-40B4-BE49-F238E27FC236}">
              <a16:creationId xmlns:a16="http://schemas.microsoft.com/office/drawing/2014/main" id="{1BADB3FA-F0F0-41BF-808D-BBBAE640456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615950</xdr:colOff>
      <xdr:row>31</xdr:row>
      <xdr:rowOff>12700</xdr:rowOff>
    </xdr:from>
    <xdr:to>
      <xdr:col>13</xdr:col>
      <xdr:colOff>565150</xdr:colOff>
      <xdr:row>46</xdr:row>
      <xdr:rowOff>88900</xdr:rowOff>
    </xdr:to>
    <xdr:graphicFrame macro="">
      <xdr:nvGraphicFramePr>
        <xdr:cNvPr id="6" name="图表 5">
          <a:extLst>
            <a:ext uri="{FF2B5EF4-FFF2-40B4-BE49-F238E27FC236}">
              <a16:creationId xmlns:a16="http://schemas.microsoft.com/office/drawing/2014/main" id="{7CDB1000-22EA-474C-A23B-274E835085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E2D39D-87E4-4CE5-AC79-37368DB72250}">
  <dimension ref="A1:M13"/>
  <sheetViews>
    <sheetView tabSelected="1" workbookViewId="0">
      <selection activeCell="P13" sqref="P13"/>
    </sheetView>
  </sheetViews>
  <sheetFormatPr defaultRowHeight="14" x14ac:dyDescent="0.3"/>
  <cols>
    <col min="1" max="1" width="7.83203125" style="1" bestFit="1" customWidth="1"/>
    <col min="2" max="2" width="11.25" bestFit="1" customWidth="1"/>
    <col min="3" max="3" width="8.5" bestFit="1" customWidth="1"/>
    <col min="4" max="4" width="14.33203125" bestFit="1" customWidth="1"/>
    <col min="5" max="5" width="8.1640625" bestFit="1" customWidth="1"/>
    <col min="6" max="6" width="14.33203125" bestFit="1" customWidth="1"/>
    <col min="9" max="9" width="14.33203125" bestFit="1" customWidth="1"/>
    <col min="10" max="11" width="9.83203125" bestFit="1" customWidth="1"/>
    <col min="12" max="12" width="13.33203125" bestFit="1" customWidth="1"/>
  </cols>
  <sheetData>
    <row r="1" spans="1:13" x14ac:dyDescent="0.3">
      <c r="A1" s="1" t="s">
        <v>1</v>
      </c>
      <c r="B1" t="s">
        <v>0</v>
      </c>
      <c r="C1" t="s">
        <v>2</v>
      </c>
      <c r="D1" t="s">
        <v>3</v>
      </c>
      <c r="E1" t="s">
        <v>4</v>
      </c>
      <c r="F1" t="s">
        <v>5</v>
      </c>
      <c r="I1" s="2" t="s">
        <v>6</v>
      </c>
      <c r="J1" s="3">
        <v>46023</v>
      </c>
      <c r="K1" s="4">
        <v>46113</v>
      </c>
      <c r="L1" s="5" t="s">
        <v>7</v>
      </c>
    </row>
    <row r="2" spans="1:13" x14ac:dyDescent="0.3">
      <c r="A2" s="1">
        <v>45809</v>
      </c>
      <c r="B2">
        <v>1534252.94</v>
      </c>
      <c r="C2">
        <v>376</v>
      </c>
      <c r="D2">
        <v>85.9</v>
      </c>
      <c r="E2">
        <v>4750.01</v>
      </c>
      <c r="F2">
        <v>31.27</v>
      </c>
      <c r="I2" s="2" t="s">
        <v>2</v>
      </c>
      <c r="J2">
        <f>C9</f>
        <v>432</v>
      </c>
      <c r="K2">
        <f>C12</f>
        <v>389</v>
      </c>
      <c r="L2" s="6">
        <f>(K2-J2)/J2</f>
        <v>-9.9537037037037035E-2</v>
      </c>
      <c r="M2" s="6"/>
    </row>
    <row r="3" spans="1:13" x14ac:dyDescent="0.3">
      <c r="A3" s="1">
        <v>45839</v>
      </c>
      <c r="B3">
        <v>1885914.05</v>
      </c>
      <c r="C3">
        <v>448</v>
      </c>
      <c r="D3">
        <v>87.28</v>
      </c>
      <c r="E3">
        <v>4823.3100000000004</v>
      </c>
      <c r="F3">
        <v>29.67</v>
      </c>
      <c r="I3" s="2" t="s">
        <v>3</v>
      </c>
      <c r="J3">
        <f>D9</f>
        <v>86.34</v>
      </c>
      <c r="K3">
        <f>D12</f>
        <v>85.09</v>
      </c>
      <c r="L3" s="6">
        <f t="shared" ref="L3:L6" si="0">(K3-J3)/J3</f>
        <v>-1.447764651378272E-2</v>
      </c>
    </row>
    <row r="4" spans="1:13" x14ac:dyDescent="0.3">
      <c r="A4" s="1">
        <v>45870</v>
      </c>
      <c r="B4">
        <v>1629929.39</v>
      </c>
      <c r="C4">
        <v>373</v>
      </c>
      <c r="D4">
        <v>88.74</v>
      </c>
      <c r="E4">
        <v>4924.26</v>
      </c>
      <c r="F4">
        <v>32.33</v>
      </c>
      <c r="I4" s="2" t="s">
        <v>4</v>
      </c>
      <c r="J4">
        <f>E9</f>
        <v>5163.13</v>
      </c>
      <c r="K4">
        <f>E12</f>
        <v>4709.03</v>
      </c>
      <c r="L4" s="6">
        <f t="shared" si="0"/>
        <v>-8.7950526134341053E-2</v>
      </c>
    </row>
    <row r="5" spans="1:13" x14ac:dyDescent="0.3">
      <c r="A5" s="1">
        <v>45901</v>
      </c>
      <c r="B5">
        <v>1942386.8</v>
      </c>
      <c r="C5">
        <v>441</v>
      </c>
      <c r="D5">
        <v>86.17</v>
      </c>
      <c r="E5">
        <v>5111.54</v>
      </c>
      <c r="F5">
        <v>28.95</v>
      </c>
      <c r="I5" s="2" t="s">
        <v>0</v>
      </c>
      <c r="J5">
        <f>B9</f>
        <v>1925848.57</v>
      </c>
      <c r="K5">
        <f>B12</f>
        <v>1558688.22</v>
      </c>
      <c r="L5" s="6">
        <f>(K5-J5)/J5</f>
        <v>-0.19064860847288739</v>
      </c>
    </row>
    <row r="6" spans="1:13" x14ac:dyDescent="0.3">
      <c r="A6" s="1">
        <v>45931</v>
      </c>
      <c r="B6">
        <v>1767754.21</v>
      </c>
      <c r="C6">
        <v>419</v>
      </c>
      <c r="D6">
        <v>84.73</v>
      </c>
      <c r="E6">
        <v>4979.59</v>
      </c>
      <c r="F6">
        <v>31.27</v>
      </c>
    </row>
    <row r="7" spans="1:13" x14ac:dyDescent="0.3">
      <c r="A7" s="1">
        <v>45962</v>
      </c>
      <c r="B7">
        <v>1855033.24</v>
      </c>
      <c r="C7">
        <v>448</v>
      </c>
      <c r="D7">
        <v>86.16</v>
      </c>
      <c r="E7">
        <v>4805.79</v>
      </c>
      <c r="F7">
        <v>33.94</v>
      </c>
    </row>
    <row r="8" spans="1:13" x14ac:dyDescent="0.3">
      <c r="A8" s="1">
        <v>45992</v>
      </c>
      <c r="B8">
        <v>1732685.27</v>
      </c>
      <c r="C8">
        <v>414</v>
      </c>
      <c r="D8">
        <v>86.23</v>
      </c>
      <c r="E8">
        <v>4853.46</v>
      </c>
      <c r="F8">
        <v>30.25</v>
      </c>
    </row>
    <row r="9" spans="1:13" x14ac:dyDescent="0.3">
      <c r="A9" s="1">
        <v>46023</v>
      </c>
      <c r="B9">
        <v>1925848.57</v>
      </c>
      <c r="C9">
        <v>432</v>
      </c>
      <c r="D9">
        <v>86.34</v>
      </c>
      <c r="E9">
        <v>5163.13</v>
      </c>
      <c r="F9">
        <v>35.92</v>
      </c>
    </row>
    <row r="10" spans="1:13" x14ac:dyDescent="0.3">
      <c r="A10" s="1">
        <v>46054</v>
      </c>
      <c r="B10">
        <v>1850301.75</v>
      </c>
      <c r="C10">
        <v>432</v>
      </c>
      <c r="D10">
        <v>84.72</v>
      </c>
      <c r="E10">
        <v>5055.47</v>
      </c>
      <c r="F10">
        <v>29.51</v>
      </c>
    </row>
    <row r="11" spans="1:13" x14ac:dyDescent="0.3">
      <c r="A11" s="1">
        <v>46082</v>
      </c>
      <c r="B11">
        <v>1606959.77</v>
      </c>
      <c r="C11">
        <v>430</v>
      </c>
      <c r="D11">
        <v>84.19</v>
      </c>
      <c r="E11">
        <v>4439.12</v>
      </c>
      <c r="F11">
        <v>31.22</v>
      </c>
    </row>
    <row r="12" spans="1:13" x14ac:dyDescent="0.3">
      <c r="A12" s="1">
        <v>46113</v>
      </c>
      <c r="B12">
        <v>1558688.22</v>
      </c>
      <c r="C12">
        <v>389</v>
      </c>
      <c r="D12">
        <v>85.09</v>
      </c>
      <c r="E12">
        <v>4709.03</v>
      </c>
      <c r="F12">
        <v>29</v>
      </c>
    </row>
    <row r="13" spans="1:13" x14ac:dyDescent="0.3">
      <c r="A13" s="1">
        <v>46143</v>
      </c>
      <c r="B13">
        <v>1630035.53</v>
      </c>
      <c r="C13">
        <v>398</v>
      </c>
      <c r="D13">
        <v>82.66</v>
      </c>
      <c r="E13">
        <v>4954.5200000000004</v>
      </c>
      <c r="F13">
        <v>30.09</v>
      </c>
    </row>
  </sheetData>
  <phoneticPr fontId="18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6A2EC7-ABD8-4CBB-B1E0-F1C0662F036C}">
  <dimension ref="A1"/>
  <sheetViews>
    <sheetView topLeftCell="A13" workbookViewId="0">
      <selection activeCell="P38" sqref="P37:P38"/>
    </sheetView>
  </sheetViews>
  <sheetFormatPr defaultRowHeight="14" x14ac:dyDescent="0.3"/>
  <sheetData/>
  <phoneticPr fontId="18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GMV_Month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2197836695@qq.com</cp:lastModifiedBy>
  <dcterms:created xsi:type="dcterms:W3CDTF">2026-09-27T17:06:05Z</dcterms:created>
  <dcterms:modified xsi:type="dcterms:W3CDTF">2026-09-29T17:17:45Z</dcterms:modified>
</cp:coreProperties>
</file>